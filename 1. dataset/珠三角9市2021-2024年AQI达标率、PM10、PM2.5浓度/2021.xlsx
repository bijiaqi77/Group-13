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10944\Desktop\dataset\珠三角9市2021-2024年AQI达标率、PM10、PM2.5浓度\"/>
    </mc:Choice>
  </mc:AlternateContent>
  <xr:revisionPtr revIDLastSave="0" documentId="13_ncr:1_{826F88D9-B0B5-4CF9-B60D-E9D11D3EC495}" xr6:coauthVersionLast="47" xr6:coauthVersionMax="47" xr10:uidLastSave="{00000000-0000-0000-0000-000000000000}"/>
  <bookViews>
    <workbookView xWindow="-98" yWindow="-98" windowWidth="21795" windowHeight="12975" firstSheet="4" activeTab="1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9" sheetId="9" r:id="rId8"/>
    <sheet name="Sheet8" sheetId="8" r:id="rId9"/>
    <sheet name="Sheet10" sheetId="10" r:id="rId10"/>
    <sheet name="Sheet11" sheetId="11" r:id="rId11"/>
    <sheet name="Sheet12" sheetId="12" r:id="rId12"/>
    <sheet name="年均值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3" l="1"/>
  <c r="D4" i="13"/>
  <c r="D5" i="13"/>
  <c r="D6" i="13"/>
  <c r="D7" i="13"/>
  <c r="D8" i="13"/>
  <c r="D9" i="13"/>
  <c r="D10" i="13"/>
  <c r="D2" i="13"/>
  <c r="C3" i="13"/>
  <c r="C4" i="13"/>
  <c r="C5" i="13"/>
  <c r="C6" i="13"/>
  <c r="C7" i="13"/>
  <c r="C8" i="13"/>
  <c r="C9" i="13"/>
  <c r="C10" i="13"/>
  <c r="C2" i="13"/>
  <c r="B3" i="13"/>
  <c r="B4" i="13"/>
  <c r="B5" i="13"/>
  <c r="B6" i="13"/>
  <c r="B7" i="13"/>
  <c r="B8" i="13"/>
  <c r="B9" i="13"/>
  <c r="B10" i="13"/>
  <c r="B2" i="13"/>
</calcChain>
</file>

<file path=xl/sharedStrings.xml><?xml version="1.0" encoding="utf-8"?>
<sst xmlns="http://schemas.openxmlformats.org/spreadsheetml/2006/main" count="169" uniqueCount="25">
  <si>
    <t>城市</t>
  </si>
  <si>
    <t>广州市</t>
  </si>
  <si>
    <t>深圳市</t>
  </si>
  <si>
    <t>珠海市</t>
  </si>
  <si>
    <t>佛山市</t>
  </si>
  <si>
    <t>惠州市</t>
  </si>
  <si>
    <t>东莞市</t>
  </si>
  <si>
    <t>中山市</t>
  </si>
  <si>
    <t>江门市</t>
  </si>
  <si>
    <t>肇庆市</t>
  </si>
  <si>
    <t>AQI达标率</t>
    <phoneticPr fontId="1" type="noConversion"/>
  </si>
  <si>
    <t>可吸入颗粒物（PM10）月平均浓度(微克/立方米)</t>
  </si>
  <si>
    <t>细颗粒物（PM2.5）月平均浓度（微克/立方米）</t>
  </si>
  <si>
    <t>广州市</t>
    <phoneticPr fontId="1" type="noConversion"/>
  </si>
  <si>
    <t>深圳市</t>
    <phoneticPr fontId="1" type="noConversion"/>
  </si>
  <si>
    <t>珠海市</t>
    <phoneticPr fontId="1" type="noConversion"/>
  </si>
  <si>
    <t>佛山市</t>
    <phoneticPr fontId="1" type="noConversion"/>
  </si>
  <si>
    <t>惠州市</t>
    <phoneticPr fontId="1" type="noConversion"/>
  </si>
  <si>
    <t>东莞市</t>
    <phoneticPr fontId="1" type="noConversion"/>
  </si>
  <si>
    <t>中山市</t>
    <phoneticPr fontId="1" type="noConversion"/>
  </si>
  <si>
    <t>江门市</t>
    <phoneticPr fontId="1" type="noConversion"/>
  </si>
  <si>
    <t>肇庆市</t>
    <phoneticPr fontId="1" type="noConversion"/>
  </si>
  <si>
    <t>可吸入颗粒物（PM10）年平均浓度(微克/立方米)</t>
    <phoneticPr fontId="1" type="noConversion"/>
  </si>
  <si>
    <t>细颗粒物（PM2.5）年平均浓度（微克/立方米）</t>
    <phoneticPr fontId="1" type="noConversion"/>
  </si>
  <si>
    <t>AQI达标率年均值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</si>
</sst>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0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workbookViewId="0">
      <selection activeCell="C2" sqref="C2"/>
    </sheetView>
  </sheetViews>
  <sheetFormatPr defaultRowHeight="13.9" x14ac:dyDescent="0.4"/>
  <cols>
    <col min="2" max="2" width="12.86328125" customWidth="1"/>
    <col min="3" max="3" width="13.53125" customWidth="1"/>
    <col min="4" max="4" width="9.796875" customWidth="1"/>
  </cols>
  <sheetData>
    <row r="1" spans="1:9" ht="70.150000000000006" customHeight="1" x14ac:dyDescent="0.4">
      <c r="A1" s="4" t="s">
        <v>0</v>
      </c>
      <c r="B1" s="4" t="s">
        <v>11</v>
      </c>
      <c r="C1" s="4" t="s">
        <v>12</v>
      </c>
      <c r="D1" s="4" t="s">
        <v>10</v>
      </c>
      <c r="I1" s="4"/>
    </row>
    <row r="2" spans="1:9" x14ac:dyDescent="0.4">
      <c r="A2" s="6" t="s">
        <v>18</v>
      </c>
      <c r="B2" s="6">
        <v>81</v>
      </c>
      <c r="C2" s="6">
        <v>42</v>
      </c>
      <c r="D2" s="5">
        <v>0.71</v>
      </c>
    </row>
    <row r="3" spans="1:9" x14ac:dyDescent="0.4">
      <c r="A3" s="5" t="s">
        <v>16</v>
      </c>
      <c r="B3" s="6">
        <v>89</v>
      </c>
      <c r="C3" s="6">
        <v>48</v>
      </c>
      <c r="D3" s="5">
        <v>0.77400000000000002</v>
      </c>
    </row>
    <row r="4" spans="1:9" x14ac:dyDescent="0.4">
      <c r="A4" s="5" t="s">
        <v>13</v>
      </c>
      <c r="B4" s="6">
        <v>87</v>
      </c>
      <c r="C4" s="6">
        <v>45</v>
      </c>
      <c r="D4" s="5">
        <v>0.80600000000000005</v>
      </c>
    </row>
    <row r="5" spans="1:9" x14ac:dyDescent="0.4">
      <c r="A5" s="6" t="s">
        <v>17</v>
      </c>
      <c r="B5" s="6">
        <v>71</v>
      </c>
      <c r="C5" s="6">
        <v>36</v>
      </c>
      <c r="D5" s="5">
        <v>0.93500000000000005</v>
      </c>
    </row>
    <row r="6" spans="1:9" x14ac:dyDescent="0.4">
      <c r="A6" s="6" t="s">
        <v>20</v>
      </c>
      <c r="B6" s="6">
        <v>86</v>
      </c>
      <c r="C6" s="6">
        <v>45</v>
      </c>
      <c r="D6" s="5">
        <v>0.77400000000000002</v>
      </c>
    </row>
    <row r="7" spans="1:9" x14ac:dyDescent="0.4">
      <c r="A7" s="5" t="s">
        <v>14</v>
      </c>
      <c r="B7" s="6">
        <v>72</v>
      </c>
      <c r="C7" s="6">
        <v>36</v>
      </c>
      <c r="D7" s="5">
        <v>0.96799999999999997</v>
      </c>
    </row>
    <row r="8" spans="1:9" x14ac:dyDescent="0.4">
      <c r="A8" s="6" t="s">
        <v>21</v>
      </c>
      <c r="B8" s="6">
        <v>63</v>
      </c>
      <c r="C8" s="6">
        <v>39</v>
      </c>
      <c r="D8" s="5">
        <v>0.871</v>
      </c>
    </row>
    <row r="9" spans="1:9" x14ac:dyDescent="0.4">
      <c r="A9" s="6" t="s">
        <v>19</v>
      </c>
      <c r="B9" s="6">
        <v>72</v>
      </c>
      <c r="C9" s="6">
        <v>42</v>
      </c>
      <c r="D9" s="5">
        <v>0.80600000000000005</v>
      </c>
    </row>
    <row r="10" spans="1:9" x14ac:dyDescent="0.4">
      <c r="A10" s="5" t="s">
        <v>15</v>
      </c>
      <c r="B10" s="6">
        <v>78</v>
      </c>
      <c r="C10" s="6">
        <v>39</v>
      </c>
      <c r="D10" s="5">
        <v>0.96799999999999997</v>
      </c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ECF21-0325-4CFF-B53D-7BBD4081EC6E}">
  <dimension ref="A1:D11"/>
  <sheetViews>
    <sheetView workbookViewId="0">
      <selection activeCell="D14" sqref="D14"/>
    </sheetView>
  </sheetViews>
  <sheetFormatPr defaultRowHeight="13.9" x14ac:dyDescent="0.4"/>
  <cols>
    <col min="1" max="1" width="12.265625" customWidth="1"/>
    <col min="2" max="2" width="15.1328125" customWidth="1"/>
    <col min="3" max="3" width="11.86328125" customWidth="1"/>
    <col min="4" max="4" width="11.59765625" customWidth="1"/>
  </cols>
  <sheetData>
    <row r="1" spans="1:4" ht="72" customHeight="1" x14ac:dyDescent="0.4">
      <c r="A1" s="4" t="s">
        <v>0</v>
      </c>
      <c r="B1" s="4" t="s">
        <v>11</v>
      </c>
      <c r="C1" s="4" t="s">
        <v>12</v>
      </c>
      <c r="D1" s="4" t="s">
        <v>10</v>
      </c>
    </row>
    <row r="2" spans="1:4" x14ac:dyDescent="0.4">
      <c r="A2" s="6" t="s">
        <v>18</v>
      </c>
      <c r="B2" s="6">
        <v>41</v>
      </c>
      <c r="C2" s="6">
        <v>25</v>
      </c>
      <c r="D2" s="5">
        <v>0.67900000000000005</v>
      </c>
    </row>
    <row r="3" spans="1:4" x14ac:dyDescent="0.4">
      <c r="A3" s="5" t="s">
        <v>16</v>
      </c>
      <c r="B3" s="6">
        <v>43</v>
      </c>
      <c r="C3" s="6">
        <v>26</v>
      </c>
      <c r="D3" s="5">
        <v>0.78600000000000003</v>
      </c>
    </row>
    <row r="4" spans="1:4" x14ac:dyDescent="0.4">
      <c r="A4" s="5" t="s">
        <v>13</v>
      </c>
      <c r="B4" s="6">
        <v>47</v>
      </c>
      <c r="C4" s="6">
        <v>28</v>
      </c>
      <c r="D4" s="5">
        <v>0.82099999999999995</v>
      </c>
    </row>
    <row r="5" spans="1:4" x14ac:dyDescent="0.4">
      <c r="A5" s="6" t="s">
        <v>17</v>
      </c>
      <c r="B5" s="6">
        <v>38</v>
      </c>
      <c r="C5" s="6">
        <v>23</v>
      </c>
      <c r="D5" s="5">
        <v>1</v>
      </c>
    </row>
    <row r="6" spans="1:4" x14ac:dyDescent="0.4">
      <c r="A6" s="6" t="s">
        <v>20</v>
      </c>
      <c r="B6" s="6">
        <v>42</v>
      </c>
      <c r="C6" s="6">
        <v>23</v>
      </c>
      <c r="D6" s="5">
        <v>0.85699999999999998</v>
      </c>
    </row>
    <row r="7" spans="1:4" x14ac:dyDescent="0.4">
      <c r="A7" s="5" t="s">
        <v>14</v>
      </c>
      <c r="B7" s="6">
        <v>34</v>
      </c>
      <c r="C7" s="6">
        <v>20</v>
      </c>
      <c r="D7" s="5">
        <v>1</v>
      </c>
    </row>
    <row r="8" spans="1:4" x14ac:dyDescent="0.4">
      <c r="A8" s="6" t="s">
        <v>21</v>
      </c>
      <c r="B8" s="6">
        <v>37</v>
      </c>
      <c r="C8" s="6">
        <v>25</v>
      </c>
      <c r="D8" s="5">
        <v>0.96399999999999997</v>
      </c>
    </row>
    <row r="9" spans="1:4" x14ac:dyDescent="0.4">
      <c r="A9" s="6" t="s">
        <v>19</v>
      </c>
      <c r="B9" s="6">
        <v>35</v>
      </c>
      <c r="C9" s="6">
        <v>22</v>
      </c>
      <c r="D9" s="5">
        <v>0.92900000000000005</v>
      </c>
    </row>
    <row r="10" spans="1:4" x14ac:dyDescent="0.4">
      <c r="A10" s="5" t="s">
        <v>15</v>
      </c>
      <c r="B10" s="6">
        <v>39</v>
      </c>
      <c r="C10" s="6">
        <v>22</v>
      </c>
      <c r="D10" s="5">
        <v>0.96399999999999997</v>
      </c>
    </row>
    <row r="11" spans="1:4" x14ac:dyDescent="0.4">
      <c r="A11" s="6"/>
      <c r="B11" s="6"/>
      <c r="C11" s="6"/>
      <c r="D11" s="6"/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36D04-6F47-4104-8E4E-B8203B486B34}">
  <dimension ref="A1:L18"/>
  <sheetViews>
    <sheetView workbookViewId="0">
      <selection activeCell="D21" sqref="D21"/>
    </sheetView>
  </sheetViews>
  <sheetFormatPr defaultRowHeight="13.9" x14ac:dyDescent="0.4"/>
  <cols>
    <col min="2" max="2" width="13" customWidth="1"/>
    <col min="3" max="3" width="10.9296875" customWidth="1"/>
  </cols>
  <sheetData>
    <row r="1" spans="1:12" ht="69.400000000000006" x14ac:dyDescent="0.4">
      <c r="A1" s="4" t="s">
        <v>0</v>
      </c>
      <c r="B1" s="4" t="s">
        <v>11</v>
      </c>
      <c r="C1" s="4" t="s">
        <v>12</v>
      </c>
      <c r="D1" s="4" t="s">
        <v>10</v>
      </c>
    </row>
    <row r="2" spans="1:12" x14ac:dyDescent="0.4">
      <c r="A2" s="6" t="s">
        <v>18</v>
      </c>
      <c r="B2" s="6">
        <v>50</v>
      </c>
      <c r="C2" s="6">
        <v>25</v>
      </c>
      <c r="D2" s="5">
        <v>0.90300000000000002</v>
      </c>
      <c r="E2" s="1"/>
    </row>
    <row r="3" spans="1:12" x14ac:dyDescent="0.4">
      <c r="A3" s="5" t="s">
        <v>16</v>
      </c>
      <c r="B3" s="6">
        <v>62</v>
      </c>
      <c r="C3" s="6">
        <v>30</v>
      </c>
      <c r="D3" s="5">
        <v>0.96799999999999997</v>
      </c>
      <c r="E3" s="1"/>
    </row>
    <row r="4" spans="1:12" x14ac:dyDescent="0.4">
      <c r="A4" s="5" t="s">
        <v>13</v>
      </c>
      <c r="B4" s="6">
        <v>60</v>
      </c>
      <c r="C4" s="6">
        <v>29</v>
      </c>
      <c r="D4" s="5">
        <v>0.96799999999999997</v>
      </c>
      <c r="E4" s="1"/>
    </row>
    <row r="5" spans="1:12" x14ac:dyDescent="0.4">
      <c r="A5" s="6" t="s">
        <v>17</v>
      </c>
      <c r="B5" s="6">
        <v>48</v>
      </c>
      <c r="C5" s="6">
        <v>23</v>
      </c>
      <c r="D5" s="5">
        <v>0.96799999999999997</v>
      </c>
      <c r="E5" s="1"/>
      <c r="I5" s="1"/>
      <c r="L5" s="1"/>
    </row>
    <row r="6" spans="1:12" x14ac:dyDescent="0.4">
      <c r="A6" s="6" t="s">
        <v>20</v>
      </c>
      <c r="B6" s="6">
        <v>59</v>
      </c>
      <c r="C6" s="6">
        <v>28</v>
      </c>
      <c r="D6" s="5">
        <v>0.93500000000000005</v>
      </c>
      <c r="E6" s="1"/>
      <c r="I6" s="1"/>
      <c r="L6" s="1"/>
    </row>
    <row r="7" spans="1:12" x14ac:dyDescent="0.4">
      <c r="A7" s="5" t="s">
        <v>14</v>
      </c>
      <c r="B7" s="6">
        <v>41</v>
      </c>
      <c r="C7" s="6">
        <v>19</v>
      </c>
      <c r="D7" s="5">
        <v>1</v>
      </c>
      <c r="I7" s="1"/>
      <c r="L7" s="1"/>
    </row>
    <row r="8" spans="1:12" x14ac:dyDescent="0.4">
      <c r="A8" s="6" t="s">
        <v>21</v>
      </c>
      <c r="B8" s="6">
        <v>52</v>
      </c>
      <c r="C8" s="6">
        <v>27</v>
      </c>
      <c r="D8" s="5">
        <v>1</v>
      </c>
      <c r="I8" s="1"/>
      <c r="L8" s="1"/>
    </row>
    <row r="9" spans="1:12" x14ac:dyDescent="0.4">
      <c r="A9" s="6" t="s">
        <v>19</v>
      </c>
      <c r="B9" s="6">
        <v>47</v>
      </c>
      <c r="C9" s="6">
        <v>22</v>
      </c>
      <c r="D9" s="5">
        <v>0.96799999999999997</v>
      </c>
      <c r="I9" s="1"/>
      <c r="L9" s="1"/>
    </row>
    <row r="10" spans="1:12" x14ac:dyDescent="0.4">
      <c r="A10" s="5" t="s">
        <v>15</v>
      </c>
      <c r="B10" s="6">
        <v>45</v>
      </c>
      <c r="C10" s="6">
        <v>23</v>
      </c>
      <c r="D10" s="5">
        <v>1</v>
      </c>
      <c r="I10" s="1"/>
      <c r="L10" s="1"/>
    </row>
    <row r="11" spans="1:12" x14ac:dyDescent="0.4">
      <c r="I11" s="1"/>
      <c r="L11" s="1"/>
    </row>
    <row r="12" spans="1:12" x14ac:dyDescent="0.4">
      <c r="I12" s="1"/>
      <c r="L12" s="1"/>
    </row>
    <row r="13" spans="1:12" x14ac:dyDescent="0.4">
      <c r="I13" s="1"/>
      <c r="L13" s="1"/>
    </row>
    <row r="14" spans="1:12" x14ac:dyDescent="0.4">
      <c r="I14" s="1"/>
      <c r="L14" s="1"/>
    </row>
    <row r="15" spans="1:12" x14ac:dyDescent="0.4">
      <c r="I15" s="1"/>
      <c r="L15" s="1"/>
    </row>
    <row r="16" spans="1:12" x14ac:dyDescent="0.4">
      <c r="I16" s="1"/>
      <c r="L16" s="1"/>
    </row>
    <row r="17" spans="9:12" x14ac:dyDescent="0.4">
      <c r="I17" s="1"/>
      <c r="L17" s="1"/>
    </row>
    <row r="18" spans="9:12" x14ac:dyDescent="0.4">
      <c r="I18" s="1"/>
      <c r="L18" s="1"/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E53BA-65D7-4A31-8515-ABEBED5E94A3}">
  <dimension ref="A1:K14"/>
  <sheetViews>
    <sheetView workbookViewId="0">
      <selection sqref="A1:D10"/>
    </sheetView>
  </sheetViews>
  <sheetFormatPr defaultRowHeight="13.9" x14ac:dyDescent="0.4"/>
  <cols>
    <col min="2" max="2" width="11.3984375" customWidth="1"/>
  </cols>
  <sheetData>
    <row r="1" spans="1:11" ht="83.25" x14ac:dyDescent="0.4">
      <c r="A1" s="4" t="s">
        <v>0</v>
      </c>
      <c r="B1" s="4" t="s">
        <v>11</v>
      </c>
      <c r="C1" s="4" t="s">
        <v>12</v>
      </c>
      <c r="D1" s="4" t="s">
        <v>10</v>
      </c>
    </row>
    <row r="2" spans="1:11" x14ac:dyDescent="0.4">
      <c r="A2" s="6" t="s">
        <v>18</v>
      </c>
      <c r="B2" s="6">
        <v>51</v>
      </c>
      <c r="C2" s="6">
        <v>24</v>
      </c>
      <c r="D2" s="5">
        <v>0.73299999999999998</v>
      </c>
      <c r="E2" s="1"/>
    </row>
    <row r="3" spans="1:11" x14ac:dyDescent="0.4">
      <c r="A3" s="5" t="s">
        <v>16</v>
      </c>
      <c r="B3" s="6">
        <v>49</v>
      </c>
      <c r="C3" s="6">
        <v>24</v>
      </c>
      <c r="D3" s="5">
        <v>0.8</v>
      </c>
      <c r="E3" s="1"/>
    </row>
    <row r="4" spans="1:11" x14ac:dyDescent="0.4">
      <c r="A4" s="5" t="s">
        <v>13</v>
      </c>
      <c r="B4" s="6">
        <v>52</v>
      </c>
      <c r="C4" s="6">
        <v>25</v>
      </c>
      <c r="D4" s="5">
        <v>0.76700000000000002</v>
      </c>
      <c r="E4" s="1"/>
    </row>
    <row r="5" spans="1:11" x14ac:dyDescent="0.4">
      <c r="A5" s="6" t="s">
        <v>17</v>
      </c>
      <c r="B5" s="6">
        <v>49</v>
      </c>
      <c r="C5" s="6">
        <v>21</v>
      </c>
      <c r="D5" s="5">
        <v>0.83299999999999996</v>
      </c>
      <c r="E5" s="1"/>
      <c r="H5" s="1"/>
      <c r="K5" s="1"/>
    </row>
    <row r="6" spans="1:11" x14ac:dyDescent="0.4">
      <c r="A6" s="6" t="s">
        <v>20</v>
      </c>
      <c r="B6" s="6">
        <v>48</v>
      </c>
      <c r="C6" s="6">
        <v>22</v>
      </c>
      <c r="D6" s="5">
        <v>0.9</v>
      </c>
      <c r="E6" s="1"/>
      <c r="H6" s="1"/>
      <c r="K6" s="1"/>
    </row>
    <row r="7" spans="1:11" x14ac:dyDescent="0.4">
      <c r="A7" s="5" t="s">
        <v>14</v>
      </c>
      <c r="B7" s="6">
        <v>42</v>
      </c>
      <c r="C7" s="6">
        <v>19</v>
      </c>
      <c r="D7" s="5">
        <v>1</v>
      </c>
      <c r="H7" s="1"/>
      <c r="K7" s="1"/>
    </row>
    <row r="8" spans="1:11" x14ac:dyDescent="0.4">
      <c r="A8" s="6" t="s">
        <v>21</v>
      </c>
      <c r="B8" s="6">
        <v>41</v>
      </c>
      <c r="C8" s="6">
        <v>23</v>
      </c>
      <c r="D8" s="5">
        <v>0.93300000000000005</v>
      </c>
      <c r="H8" s="1"/>
      <c r="K8" s="1"/>
    </row>
    <row r="9" spans="1:11" x14ac:dyDescent="0.4">
      <c r="A9" s="6" t="s">
        <v>19</v>
      </c>
      <c r="B9" s="6">
        <v>42</v>
      </c>
      <c r="C9" s="6">
        <v>19</v>
      </c>
      <c r="D9" s="5">
        <v>0.9</v>
      </c>
      <c r="H9" s="1"/>
      <c r="K9" s="1"/>
    </row>
    <row r="10" spans="1:11" x14ac:dyDescent="0.4">
      <c r="A10" s="5" t="s">
        <v>15</v>
      </c>
      <c r="B10" s="6">
        <v>40</v>
      </c>
      <c r="C10" s="6">
        <v>19</v>
      </c>
      <c r="D10" s="5">
        <v>1</v>
      </c>
      <c r="H10" s="1"/>
      <c r="K10" s="1"/>
    </row>
    <row r="11" spans="1:11" x14ac:dyDescent="0.4">
      <c r="H11" s="1"/>
      <c r="K11" s="1"/>
    </row>
    <row r="12" spans="1:11" x14ac:dyDescent="0.4">
      <c r="H12" s="1"/>
      <c r="K12" s="1"/>
    </row>
    <row r="13" spans="1:11" x14ac:dyDescent="0.4">
      <c r="H13" s="1"/>
      <c r="K13" s="1"/>
    </row>
    <row r="14" spans="1:11" x14ac:dyDescent="0.4">
      <c r="H14" s="1"/>
      <c r="K14" s="1"/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7E402-00DA-4B95-9682-B7AA863A990F}">
  <dimension ref="A1:L14"/>
  <sheetViews>
    <sheetView workbookViewId="0">
      <selection sqref="A1:D10"/>
    </sheetView>
  </sheetViews>
  <sheetFormatPr defaultRowHeight="13.9" x14ac:dyDescent="0.4"/>
  <cols>
    <col min="2" max="2" width="11.86328125" customWidth="1"/>
  </cols>
  <sheetData>
    <row r="1" spans="1:12" ht="83.25" x14ac:dyDescent="0.4">
      <c r="A1" s="4" t="s">
        <v>0</v>
      </c>
      <c r="B1" s="4" t="s">
        <v>11</v>
      </c>
      <c r="C1" s="4" t="s">
        <v>12</v>
      </c>
      <c r="D1" s="4" t="s">
        <v>10</v>
      </c>
    </row>
    <row r="2" spans="1:12" x14ac:dyDescent="0.4">
      <c r="A2" s="6" t="s">
        <v>18</v>
      </c>
      <c r="B2" s="3">
        <v>26</v>
      </c>
      <c r="C2" s="3">
        <v>13</v>
      </c>
      <c r="D2" s="7">
        <v>0.93500000000000005</v>
      </c>
      <c r="E2" s="1"/>
    </row>
    <row r="3" spans="1:12" x14ac:dyDescent="0.4">
      <c r="A3" s="5" t="s">
        <v>16</v>
      </c>
      <c r="B3" s="3">
        <v>29</v>
      </c>
      <c r="C3" s="3">
        <v>13</v>
      </c>
      <c r="D3" s="7">
        <v>0.96799999999999997</v>
      </c>
      <c r="E3" s="1"/>
    </row>
    <row r="4" spans="1:12" x14ac:dyDescent="0.4">
      <c r="A4" s="5" t="s">
        <v>13</v>
      </c>
      <c r="B4" s="3">
        <v>35</v>
      </c>
      <c r="C4" s="3">
        <v>16</v>
      </c>
      <c r="D4" s="7">
        <v>0.93500000000000005</v>
      </c>
      <c r="E4" s="1"/>
    </row>
    <row r="5" spans="1:12" x14ac:dyDescent="0.4">
      <c r="A5" s="6" t="s">
        <v>17</v>
      </c>
      <c r="B5" s="3">
        <v>29</v>
      </c>
      <c r="C5" s="3">
        <v>12</v>
      </c>
      <c r="D5" s="7">
        <v>0.93500000000000005</v>
      </c>
      <c r="E5" s="1"/>
      <c r="I5" s="1"/>
      <c r="L5" s="1"/>
    </row>
    <row r="6" spans="1:12" x14ac:dyDescent="0.4">
      <c r="A6" s="6" t="s">
        <v>20</v>
      </c>
      <c r="B6" s="3">
        <v>28</v>
      </c>
      <c r="C6" s="3">
        <v>13</v>
      </c>
      <c r="D6" s="7">
        <v>0.93500000000000005</v>
      </c>
      <c r="E6" s="1"/>
      <c r="I6" s="1"/>
      <c r="L6" s="1"/>
    </row>
    <row r="7" spans="1:12" x14ac:dyDescent="0.4">
      <c r="A7" s="5" t="s">
        <v>14</v>
      </c>
      <c r="B7" s="3">
        <v>22</v>
      </c>
      <c r="C7" s="3">
        <v>10</v>
      </c>
      <c r="D7" s="7">
        <v>0.96799999999999997</v>
      </c>
      <c r="I7" s="1"/>
      <c r="L7" s="1"/>
    </row>
    <row r="8" spans="1:12" x14ac:dyDescent="0.4">
      <c r="A8" s="6" t="s">
        <v>21</v>
      </c>
      <c r="B8" s="3">
        <v>27</v>
      </c>
      <c r="C8" s="3">
        <v>15</v>
      </c>
      <c r="D8" s="7">
        <v>1</v>
      </c>
      <c r="I8" s="1"/>
      <c r="L8" s="1"/>
    </row>
    <row r="9" spans="1:12" x14ac:dyDescent="0.4">
      <c r="A9" s="6" t="s">
        <v>19</v>
      </c>
      <c r="B9" s="3">
        <v>23</v>
      </c>
      <c r="C9" s="3">
        <v>11</v>
      </c>
      <c r="D9" s="7">
        <v>0.93500000000000005</v>
      </c>
      <c r="I9" s="1"/>
      <c r="L9" s="1"/>
    </row>
    <row r="10" spans="1:12" x14ac:dyDescent="0.4">
      <c r="A10" s="5" t="s">
        <v>15</v>
      </c>
      <c r="B10" s="3">
        <v>20</v>
      </c>
      <c r="C10" s="3">
        <v>11</v>
      </c>
      <c r="D10" s="7">
        <v>0.93500000000000005</v>
      </c>
      <c r="I10" s="1"/>
      <c r="L10" s="1"/>
    </row>
    <row r="11" spans="1:12" x14ac:dyDescent="0.4">
      <c r="I11" s="1"/>
      <c r="L11" s="1"/>
    </row>
    <row r="12" spans="1:12" x14ac:dyDescent="0.4">
      <c r="I12" s="1"/>
      <c r="L12" s="1"/>
    </row>
    <row r="13" spans="1:12" x14ac:dyDescent="0.4">
      <c r="I13" s="1"/>
      <c r="L13" s="1"/>
    </row>
    <row r="14" spans="1:12" x14ac:dyDescent="0.4">
      <c r="I14" s="1"/>
      <c r="L14" s="1"/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47297-F3CB-45B3-B814-5243F1F06DDF}">
  <dimension ref="A1:K14"/>
  <sheetViews>
    <sheetView workbookViewId="0">
      <selection activeCell="E14" sqref="E14"/>
    </sheetView>
  </sheetViews>
  <sheetFormatPr defaultRowHeight="13.9" x14ac:dyDescent="0.4"/>
  <cols>
    <col min="2" max="2" width="13" customWidth="1"/>
  </cols>
  <sheetData>
    <row r="1" spans="1:11" ht="83.25" x14ac:dyDescent="0.4">
      <c r="A1" s="4" t="s">
        <v>0</v>
      </c>
      <c r="B1" s="4" t="s">
        <v>11</v>
      </c>
      <c r="C1" s="4" t="s">
        <v>12</v>
      </c>
      <c r="D1" s="4" t="s">
        <v>10</v>
      </c>
    </row>
    <row r="2" spans="1:11" x14ac:dyDescent="0.4">
      <c r="A2" s="6" t="s">
        <v>18</v>
      </c>
      <c r="B2" s="6">
        <v>27</v>
      </c>
      <c r="C2" s="6">
        <v>13</v>
      </c>
      <c r="D2" s="5">
        <v>0.9</v>
      </c>
      <c r="E2" s="1"/>
    </row>
    <row r="3" spans="1:11" x14ac:dyDescent="0.4">
      <c r="A3" s="5" t="s">
        <v>16</v>
      </c>
      <c r="B3" s="6">
        <v>30</v>
      </c>
      <c r="C3" s="6">
        <v>14</v>
      </c>
      <c r="D3" s="5">
        <v>0.9</v>
      </c>
      <c r="E3" s="1"/>
    </row>
    <row r="4" spans="1:11" x14ac:dyDescent="0.4">
      <c r="A4" s="5" t="s">
        <v>13</v>
      </c>
      <c r="B4" s="6">
        <v>30</v>
      </c>
      <c r="C4" s="6">
        <v>15</v>
      </c>
      <c r="D4" s="5">
        <v>0.9</v>
      </c>
      <c r="E4" s="1"/>
    </row>
    <row r="5" spans="1:11" x14ac:dyDescent="0.4">
      <c r="A5" s="6" t="s">
        <v>17</v>
      </c>
      <c r="B5" s="6">
        <v>26</v>
      </c>
      <c r="C5" s="6">
        <v>10</v>
      </c>
      <c r="D5" s="5">
        <v>0.96699999999999997</v>
      </c>
      <c r="E5" s="1"/>
      <c r="H5" s="1"/>
      <c r="K5" s="1"/>
    </row>
    <row r="6" spans="1:11" x14ac:dyDescent="0.4">
      <c r="A6" s="6" t="s">
        <v>20</v>
      </c>
      <c r="B6" s="6">
        <v>29</v>
      </c>
      <c r="C6" s="6">
        <v>14</v>
      </c>
      <c r="D6" s="5">
        <v>0.86699999999999999</v>
      </c>
      <c r="E6" s="1"/>
      <c r="H6" s="1"/>
      <c r="K6" s="1"/>
    </row>
    <row r="7" spans="1:11" x14ac:dyDescent="0.4">
      <c r="A7" s="5" t="s">
        <v>14</v>
      </c>
      <c r="B7" s="6">
        <v>24</v>
      </c>
      <c r="C7" s="6">
        <v>10</v>
      </c>
      <c r="D7" s="5">
        <v>0.93300000000000005</v>
      </c>
      <c r="H7" s="1"/>
      <c r="K7" s="1"/>
    </row>
    <row r="8" spans="1:11" x14ac:dyDescent="0.4">
      <c r="A8" s="6" t="s">
        <v>21</v>
      </c>
      <c r="B8" s="6">
        <v>29</v>
      </c>
      <c r="C8" s="6">
        <v>16</v>
      </c>
      <c r="D8" s="5">
        <v>0.93300000000000005</v>
      </c>
      <c r="H8" s="1"/>
      <c r="K8" s="1"/>
    </row>
    <row r="9" spans="1:11" x14ac:dyDescent="0.4">
      <c r="A9" s="6" t="s">
        <v>19</v>
      </c>
      <c r="B9" s="6">
        <v>24</v>
      </c>
      <c r="C9" s="6">
        <v>11</v>
      </c>
      <c r="D9" s="5">
        <v>0.93300000000000005</v>
      </c>
      <c r="H9" s="1"/>
      <c r="K9" s="1"/>
    </row>
    <row r="10" spans="1:11" x14ac:dyDescent="0.4">
      <c r="A10" s="5" t="s">
        <v>15</v>
      </c>
      <c r="B10" s="6">
        <v>21</v>
      </c>
      <c r="C10" s="6">
        <v>12</v>
      </c>
      <c r="D10" s="5">
        <v>0.93300000000000005</v>
      </c>
      <c r="H10" s="1"/>
      <c r="K10" s="1"/>
    </row>
    <row r="11" spans="1:11" x14ac:dyDescent="0.4">
      <c r="H11" s="1"/>
      <c r="K11" s="1"/>
    </row>
    <row r="12" spans="1:11" x14ac:dyDescent="0.4">
      <c r="H12" s="1"/>
      <c r="K12" s="1"/>
    </row>
    <row r="13" spans="1:11" x14ac:dyDescent="0.4">
      <c r="H13" s="1"/>
      <c r="K13" s="1"/>
    </row>
    <row r="14" spans="1:11" x14ac:dyDescent="0.4">
      <c r="H14" s="1"/>
      <c r="K14" s="1"/>
    </row>
  </sheetData>
  <sortState xmlns:xlrd2="http://schemas.microsoft.com/office/spreadsheetml/2017/richdata2" ref="A2:D11">
    <sortCondition ref="A2:A11"/>
  </sortState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98BCB-DC1C-4926-A5C7-6E366E068329}">
  <dimension ref="A1:L18"/>
  <sheetViews>
    <sheetView workbookViewId="0">
      <selection sqref="A1:D10"/>
    </sheetView>
  </sheetViews>
  <sheetFormatPr defaultRowHeight="13.9" x14ac:dyDescent="0.4"/>
  <cols>
    <col min="2" max="2" width="10.59765625" customWidth="1"/>
  </cols>
  <sheetData>
    <row r="1" spans="1:12" ht="83.25" x14ac:dyDescent="0.4">
      <c r="A1" s="4" t="s">
        <v>0</v>
      </c>
      <c r="B1" s="4" t="s">
        <v>11</v>
      </c>
      <c r="C1" s="4" t="s">
        <v>12</v>
      </c>
      <c r="D1" s="4" t="s">
        <v>10</v>
      </c>
    </row>
    <row r="2" spans="1:12" x14ac:dyDescent="0.4">
      <c r="A2" s="6" t="s">
        <v>18</v>
      </c>
      <c r="B2" s="6">
        <v>28</v>
      </c>
      <c r="C2" s="6">
        <v>14</v>
      </c>
      <c r="D2" s="5">
        <v>0.871</v>
      </c>
      <c r="E2" s="1"/>
    </row>
    <row r="3" spans="1:12" x14ac:dyDescent="0.4">
      <c r="A3" s="5" t="s">
        <v>16</v>
      </c>
      <c r="B3" s="6">
        <v>29</v>
      </c>
      <c r="C3" s="6">
        <v>14</v>
      </c>
      <c r="D3" s="5">
        <v>0.83899999999999997</v>
      </c>
      <c r="E3" s="1"/>
    </row>
    <row r="4" spans="1:12" x14ac:dyDescent="0.4">
      <c r="A4" s="5" t="s">
        <v>13</v>
      </c>
      <c r="B4" s="6">
        <v>33</v>
      </c>
      <c r="C4" s="6">
        <v>16</v>
      </c>
      <c r="D4" s="5">
        <v>0.77400000000000002</v>
      </c>
      <c r="E4" s="1"/>
    </row>
    <row r="5" spans="1:12" x14ac:dyDescent="0.4">
      <c r="A5" s="6" t="s">
        <v>17</v>
      </c>
      <c r="B5" s="6">
        <v>27</v>
      </c>
      <c r="C5" s="6">
        <v>12</v>
      </c>
      <c r="D5" s="5">
        <v>0.90300000000000002</v>
      </c>
      <c r="E5" s="1"/>
      <c r="I5" s="1"/>
      <c r="L5" s="1"/>
    </row>
    <row r="6" spans="1:12" x14ac:dyDescent="0.4">
      <c r="A6" s="6" t="s">
        <v>20</v>
      </c>
      <c r="B6" s="6">
        <v>28</v>
      </c>
      <c r="C6" s="6">
        <v>14</v>
      </c>
      <c r="D6" s="5">
        <v>0.83899999999999997</v>
      </c>
      <c r="E6" s="1"/>
      <c r="I6" s="1"/>
      <c r="L6" s="1"/>
    </row>
    <row r="7" spans="1:12" x14ac:dyDescent="0.4">
      <c r="A7" s="5" t="s">
        <v>14</v>
      </c>
      <c r="B7" s="6">
        <v>22</v>
      </c>
      <c r="C7" s="6">
        <v>10</v>
      </c>
      <c r="D7" s="5">
        <v>0.90300000000000002</v>
      </c>
      <c r="I7" s="1"/>
      <c r="L7" s="1"/>
    </row>
    <row r="8" spans="1:12" x14ac:dyDescent="0.4">
      <c r="A8" s="6" t="s">
        <v>21</v>
      </c>
      <c r="B8" s="6">
        <v>29</v>
      </c>
      <c r="C8" s="6">
        <v>16</v>
      </c>
      <c r="D8" s="5">
        <v>0.93500000000000005</v>
      </c>
      <c r="I8" s="1"/>
      <c r="L8" s="1"/>
    </row>
    <row r="9" spans="1:12" x14ac:dyDescent="0.4">
      <c r="A9" s="6" t="s">
        <v>19</v>
      </c>
      <c r="B9" s="6">
        <v>24</v>
      </c>
      <c r="C9" s="6">
        <v>11</v>
      </c>
      <c r="D9" s="5">
        <v>0.83899999999999997</v>
      </c>
      <c r="I9" s="1"/>
      <c r="L9" s="1"/>
    </row>
    <row r="10" spans="1:12" x14ac:dyDescent="0.4">
      <c r="A10" s="5" t="s">
        <v>15</v>
      </c>
      <c r="B10" s="6">
        <v>16</v>
      </c>
      <c r="C10" s="6">
        <v>11</v>
      </c>
      <c r="D10" s="5">
        <v>0.93500000000000005</v>
      </c>
      <c r="I10" s="1"/>
      <c r="L10" s="1"/>
    </row>
    <row r="11" spans="1:12" x14ac:dyDescent="0.4">
      <c r="I11" s="1"/>
      <c r="L11" s="1"/>
    </row>
    <row r="12" spans="1:12" x14ac:dyDescent="0.4">
      <c r="I12" s="1"/>
      <c r="L12" s="1"/>
    </row>
    <row r="13" spans="1:12" x14ac:dyDescent="0.4">
      <c r="I13" s="1"/>
      <c r="L13" s="1"/>
    </row>
    <row r="14" spans="1:12" x14ac:dyDescent="0.4">
      <c r="I14" s="1"/>
      <c r="L14" s="1"/>
    </row>
    <row r="15" spans="1:12" x14ac:dyDescent="0.4">
      <c r="I15" s="1"/>
      <c r="L15" s="1"/>
    </row>
    <row r="16" spans="1:12" x14ac:dyDescent="0.4">
      <c r="I16" s="1"/>
      <c r="L16" s="1"/>
    </row>
    <row r="17" spans="9:12" x14ac:dyDescent="0.4">
      <c r="I17" s="1"/>
      <c r="L17" s="1"/>
    </row>
    <row r="18" spans="9:12" x14ac:dyDescent="0.4">
      <c r="I18" s="1"/>
      <c r="L18" s="1"/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EAD7-F2ED-406E-B2C6-ED7419F86EF6}">
  <dimension ref="A1:H11"/>
  <sheetViews>
    <sheetView workbookViewId="0">
      <selection sqref="A1:D10"/>
    </sheetView>
  </sheetViews>
  <sheetFormatPr defaultRowHeight="13.9" x14ac:dyDescent="0.4"/>
  <cols>
    <col min="2" max="2" width="10.73046875" customWidth="1"/>
  </cols>
  <sheetData>
    <row r="1" spans="1:8" ht="83.25" x14ac:dyDescent="0.4">
      <c r="A1" s="4" t="s">
        <v>0</v>
      </c>
      <c r="B1" s="4" t="s">
        <v>11</v>
      </c>
      <c r="C1" s="4" t="s">
        <v>12</v>
      </c>
      <c r="D1" s="4" t="s">
        <v>10</v>
      </c>
    </row>
    <row r="2" spans="1:8" x14ac:dyDescent="0.4">
      <c r="A2" s="6" t="s">
        <v>6</v>
      </c>
      <c r="B2" s="6">
        <v>36</v>
      </c>
      <c r="C2" s="6">
        <v>20</v>
      </c>
      <c r="D2" s="5">
        <v>0.7</v>
      </c>
      <c r="H2" s="1"/>
    </row>
    <row r="3" spans="1:8" x14ac:dyDescent="0.4">
      <c r="A3" s="6" t="s">
        <v>4</v>
      </c>
      <c r="B3" s="6">
        <v>40</v>
      </c>
      <c r="C3" s="6">
        <v>21</v>
      </c>
      <c r="D3" s="5">
        <v>0.53300000000000003</v>
      </c>
      <c r="H3" s="1"/>
    </row>
    <row r="4" spans="1:8" x14ac:dyDescent="0.4">
      <c r="A4" s="6" t="s">
        <v>1</v>
      </c>
      <c r="B4" s="6">
        <v>40</v>
      </c>
      <c r="C4" s="6">
        <v>22</v>
      </c>
      <c r="D4" s="5">
        <v>0.7</v>
      </c>
      <c r="H4" s="1"/>
    </row>
    <row r="5" spans="1:8" x14ac:dyDescent="0.4">
      <c r="A5" s="6" t="s">
        <v>5</v>
      </c>
      <c r="B5" s="6">
        <v>36</v>
      </c>
      <c r="C5" s="6">
        <v>16</v>
      </c>
      <c r="D5" s="5">
        <v>0.83299999999999996</v>
      </c>
      <c r="H5" s="1"/>
    </row>
    <row r="6" spans="1:8" x14ac:dyDescent="0.4">
      <c r="A6" s="6" t="s">
        <v>8</v>
      </c>
      <c r="B6" s="6">
        <v>35</v>
      </c>
      <c r="C6" s="6">
        <v>17</v>
      </c>
      <c r="D6" s="5">
        <v>0.7</v>
      </c>
      <c r="H6" s="1"/>
    </row>
    <row r="7" spans="1:8" x14ac:dyDescent="0.4">
      <c r="A7" s="6" t="s">
        <v>2</v>
      </c>
      <c r="B7" s="6">
        <v>29</v>
      </c>
      <c r="C7" s="6">
        <v>16</v>
      </c>
      <c r="D7" s="5">
        <v>0.76700000000000002</v>
      </c>
      <c r="H7" s="1"/>
    </row>
    <row r="8" spans="1:8" x14ac:dyDescent="0.4">
      <c r="A8" s="6" t="s">
        <v>9</v>
      </c>
      <c r="B8" s="6">
        <v>34</v>
      </c>
      <c r="C8" s="6">
        <v>21</v>
      </c>
      <c r="D8" s="5">
        <v>0.83299999999999996</v>
      </c>
      <c r="H8" s="1"/>
    </row>
    <row r="9" spans="1:8" x14ac:dyDescent="0.4">
      <c r="A9" s="6" t="s">
        <v>7</v>
      </c>
      <c r="B9" s="6">
        <v>30</v>
      </c>
      <c r="C9" s="6">
        <v>15</v>
      </c>
      <c r="D9" s="5">
        <v>0.76700000000000002</v>
      </c>
      <c r="H9" s="1"/>
    </row>
    <row r="10" spans="1:8" x14ac:dyDescent="0.4">
      <c r="A10" s="6" t="s">
        <v>3</v>
      </c>
      <c r="B10" s="6">
        <v>21</v>
      </c>
      <c r="C10" s="6">
        <v>13</v>
      </c>
      <c r="D10" s="5">
        <v>0.93300000000000005</v>
      </c>
      <c r="H10" s="1"/>
    </row>
    <row r="11" spans="1:8" x14ac:dyDescent="0.4">
      <c r="H11" s="1"/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8EDEA-31F8-49EA-BB8D-812D3C058C77}">
  <dimension ref="A1:L13"/>
  <sheetViews>
    <sheetView workbookViewId="0">
      <selection sqref="A1:D10"/>
    </sheetView>
  </sheetViews>
  <sheetFormatPr defaultRowHeight="13.9" x14ac:dyDescent="0.4"/>
  <cols>
    <col min="2" max="2" width="10.9296875" customWidth="1"/>
  </cols>
  <sheetData>
    <row r="1" spans="1:12" ht="83.25" x14ac:dyDescent="0.4">
      <c r="A1" s="4" t="s">
        <v>0</v>
      </c>
      <c r="B1" s="4" t="s">
        <v>11</v>
      </c>
      <c r="C1" s="4" t="s">
        <v>12</v>
      </c>
      <c r="D1" s="4" t="s">
        <v>10</v>
      </c>
    </row>
    <row r="2" spans="1:12" x14ac:dyDescent="0.4">
      <c r="A2" s="6" t="s">
        <v>6</v>
      </c>
      <c r="B2" s="6">
        <v>26</v>
      </c>
      <c r="C2" s="6">
        <v>14</v>
      </c>
      <c r="D2" s="5">
        <v>0.96799999999999997</v>
      </c>
      <c r="E2" s="1"/>
    </row>
    <row r="3" spans="1:12" x14ac:dyDescent="0.4">
      <c r="A3" s="6" t="s">
        <v>4</v>
      </c>
      <c r="B3" s="6">
        <v>28</v>
      </c>
      <c r="C3" s="6">
        <v>14</v>
      </c>
      <c r="D3" s="5">
        <v>0.93500000000000005</v>
      </c>
      <c r="E3" s="1"/>
    </row>
    <row r="4" spans="1:12" x14ac:dyDescent="0.4">
      <c r="A4" s="6" t="s">
        <v>1</v>
      </c>
      <c r="B4" s="6">
        <v>31</v>
      </c>
      <c r="C4" s="6">
        <v>15</v>
      </c>
      <c r="D4" s="5">
        <v>0.96799999999999997</v>
      </c>
      <c r="E4" s="1"/>
    </row>
    <row r="5" spans="1:12" x14ac:dyDescent="0.4">
      <c r="A5" s="6" t="s">
        <v>5</v>
      </c>
      <c r="B5" s="6">
        <v>28</v>
      </c>
      <c r="C5" s="6">
        <v>11</v>
      </c>
      <c r="D5" s="5">
        <v>0.96799999999999997</v>
      </c>
      <c r="E5" s="1"/>
      <c r="I5" s="1"/>
      <c r="L5" s="1"/>
    </row>
    <row r="6" spans="1:12" x14ac:dyDescent="0.4">
      <c r="A6" s="6" t="s">
        <v>8</v>
      </c>
      <c r="B6" s="6">
        <v>26</v>
      </c>
      <c r="C6" s="6">
        <v>12</v>
      </c>
      <c r="D6" s="5">
        <v>1</v>
      </c>
      <c r="E6" s="1"/>
      <c r="I6" s="1"/>
      <c r="L6" s="1"/>
    </row>
    <row r="7" spans="1:12" x14ac:dyDescent="0.4">
      <c r="A7" s="6" t="s">
        <v>2</v>
      </c>
      <c r="B7" s="6">
        <v>23</v>
      </c>
      <c r="C7" s="6">
        <v>11</v>
      </c>
      <c r="D7" s="5">
        <v>1</v>
      </c>
      <c r="I7" s="1"/>
      <c r="L7" s="1"/>
    </row>
    <row r="8" spans="1:12" x14ac:dyDescent="0.4">
      <c r="A8" s="6" t="s">
        <v>9</v>
      </c>
      <c r="B8" s="6">
        <v>26</v>
      </c>
      <c r="C8" s="6">
        <v>15</v>
      </c>
      <c r="D8" s="5">
        <v>0.90300000000000002</v>
      </c>
      <c r="I8" s="1"/>
      <c r="L8" s="1"/>
    </row>
    <row r="9" spans="1:12" x14ac:dyDescent="0.4">
      <c r="A9" s="6" t="s">
        <v>7</v>
      </c>
      <c r="B9" s="6">
        <v>22</v>
      </c>
      <c r="C9" s="6">
        <v>10</v>
      </c>
      <c r="D9" s="5">
        <v>1</v>
      </c>
      <c r="I9" s="1"/>
      <c r="L9" s="1"/>
    </row>
    <row r="10" spans="1:12" x14ac:dyDescent="0.4">
      <c r="A10" s="6" t="s">
        <v>3</v>
      </c>
      <c r="B10" s="6">
        <v>16</v>
      </c>
      <c r="C10" s="6">
        <v>10</v>
      </c>
      <c r="D10" s="5">
        <v>1</v>
      </c>
      <c r="I10" s="1"/>
      <c r="L10" s="1"/>
    </row>
    <row r="11" spans="1:12" x14ac:dyDescent="0.4">
      <c r="I11" s="1"/>
      <c r="L11" s="1"/>
    </row>
    <row r="12" spans="1:12" x14ac:dyDescent="0.4">
      <c r="I12" s="1"/>
      <c r="L12" s="1"/>
    </row>
    <row r="13" spans="1:12" x14ac:dyDescent="0.4">
      <c r="I13" s="1"/>
      <c r="L13" s="1"/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629D4-5797-406E-9A32-9FCD091A3CE2}">
  <dimension ref="A1:I11"/>
  <sheetViews>
    <sheetView workbookViewId="0">
      <selection activeCell="G9" sqref="G9"/>
    </sheetView>
  </sheetViews>
  <sheetFormatPr defaultRowHeight="13.9" x14ac:dyDescent="0.4"/>
  <cols>
    <col min="2" max="2" width="11.265625" customWidth="1"/>
  </cols>
  <sheetData>
    <row r="1" spans="1:9" ht="83.25" x14ac:dyDescent="0.4">
      <c r="A1" s="4" t="s">
        <v>0</v>
      </c>
      <c r="B1" s="4" t="s">
        <v>11</v>
      </c>
      <c r="C1" s="4" t="s">
        <v>12</v>
      </c>
      <c r="D1" s="4" t="s">
        <v>10</v>
      </c>
    </row>
    <row r="2" spans="1:9" x14ac:dyDescent="0.4">
      <c r="A2" s="6" t="s">
        <v>6</v>
      </c>
      <c r="B2" s="6">
        <v>33</v>
      </c>
      <c r="C2" s="6">
        <v>19</v>
      </c>
      <c r="D2" s="5">
        <v>0.96799999999999997</v>
      </c>
      <c r="I2" s="2"/>
    </row>
    <row r="3" spans="1:9" x14ac:dyDescent="0.4">
      <c r="A3" s="6" t="s">
        <v>4</v>
      </c>
      <c r="B3" s="6">
        <v>37</v>
      </c>
      <c r="C3" s="6">
        <v>20</v>
      </c>
      <c r="D3" s="5">
        <v>0.83899999999999997</v>
      </c>
      <c r="I3" s="2"/>
    </row>
    <row r="4" spans="1:9" x14ac:dyDescent="0.4">
      <c r="A4" s="6" t="s">
        <v>1</v>
      </c>
      <c r="B4" s="6">
        <v>36</v>
      </c>
      <c r="C4" s="6">
        <v>20</v>
      </c>
      <c r="D4" s="5">
        <v>0.96799999999999997</v>
      </c>
      <c r="I4" s="1"/>
    </row>
    <row r="5" spans="1:9" x14ac:dyDescent="0.4">
      <c r="A5" s="6" t="s">
        <v>5</v>
      </c>
      <c r="B5" s="6">
        <v>33</v>
      </c>
      <c r="C5" s="6">
        <v>17</v>
      </c>
      <c r="D5" s="5">
        <v>1</v>
      </c>
      <c r="I5" s="1"/>
    </row>
    <row r="6" spans="1:9" x14ac:dyDescent="0.4">
      <c r="A6" s="6" t="s">
        <v>8</v>
      </c>
      <c r="B6" s="6">
        <v>40</v>
      </c>
      <c r="C6" s="6">
        <v>21</v>
      </c>
      <c r="D6" s="5">
        <v>0.80600000000000005</v>
      </c>
      <c r="I6" s="1"/>
    </row>
    <row r="7" spans="1:9" x14ac:dyDescent="0.4">
      <c r="A7" s="6" t="s">
        <v>2</v>
      </c>
      <c r="B7" s="6">
        <v>32</v>
      </c>
      <c r="C7" s="6">
        <v>16</v>
      </c>
      <c r="D7" s="5">
        <v>1</v>
      </c>
      <c r="I7" s="1"/>
    </row>
    <row r="8" spans="1:9" x14ac:dyDescent="0.4">
      <c r="A8" s="6" t="s">
        <v>9</v>
      </c>
      <c r="B8" s="6">
        <v>31</v>
      </c>
      <c r="C8" s="6">
        <v>19</v>
      </c>
      <c r="D8" s="5">
        <v>0.871</v>
      </c>
      <c r="I8" s="1"/>
    </row>
    <row r="9" spans="1:9" x14ac:dyDescent="0.4">
      <c r="A9" s="6" t="s">
        <v>7</v>
      </c>
      <c r="B9" s="6">
        <v>36</v>
      </c>
      <c r="C9" s="6">
        <v>19</v>
      </c>
      <c r="D9" s="5">
        <v>0.90300000000000002</v>
      </c>
      <c r="I9" s="1"/>
    </row>
    <row r="10" spans="1:9" x14ac:dyDescent="0.4">
      <c r="A10" s="6" t="s">
        <v>3</v>
      </c>
      <c r="B10" s="6">
        <v>32</v>
      </c>
      <c r="C10" s="6">
        <v>18</v>
      </c>
      <c r="D10" s="5">
        <v>0.96799999999999997</v>
      </c>
      <c r="I10" s="1"/>
    </row>
    <row r="11" spans="1:9" x14ac:dyDescent="0.4">
      <c r="I11" s="1"/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1CA91-3EEC-4F2A-8292-EF8D50478900}">
  <dimension ref="A1:D10"/>
  <sheetViews>
    <sheetView workbookViewId="0">
      <selection activeCell="D2" sqref="D2:D10"/>
    </sheetView>
  </sheetViews>
  <sheetFormatPr defaultRowHeight="13.9" x14ac:dyDescent="0.4"/>
  <cols>
    <col min="2" max="2" width="11" customWidth="1"/>
  </cols>
  <sheetData>
    <row r="1" spans="1:4" ht="83.25" x14ac:dyDescent="0.4">
      <c r="A1" s="4" t="s">
        <v>0</v>
      </c>
      <c r="B1" s="4" t="s">
        <v>11</v>
      </c>
      <c r="C1" s="4" t="s">
        <v>12</v>
      </c>
      <c r="D1" s="4" t="s">
        <v>10</v>
      </c>
    </row>
    <row r="2" spans="1:4" x14ac:dyDescent="0.4">
      <c r="A2" s="3" t="s">
        <v>6</v>
      </c>
      <c r="B2" s="3">
        <v>47</v>
      </c>
      <c r="C2" s="3">
        <v>25</v>
      </c>
      <c r="D2" s="7">
        <v>0.96699999999999997</v>
      </c>
    </row>
    <row r="3" spans="1:4" x14ac:dyDescent="0.4">
      <c r="A3" s="3" t="s">
        <v>4</v>
      </c>
      <c r="B3" s="3">
        <v>51</v>
      </c>
      <c r="C3" s="3">
        <v>24</v>
      </c>
      <c r="D3" s="7">
        <v>0.96699999999999997</v>
      </c>
    </row>
    <row r="4" spans="1:4" x14ac:dyDescent="0.4">
      <c r="A4" s="3" t="s">
        <v>1</v>
      </c>
      <c r="B4" s="3">
        <v>51</v>
      </c>
      <c r="C4" s="3">
        <v>25</v>
      </c>
      <c r="D4" s="7">
        <v>1</v>
      </c>
    </row>
    <row r="5" spans="1:4" x14ac:dyDescent="0.4">
      <c r="A5" s="3" t="s">
        <v>5</v>
      </c>
      <c r="B5" s="3">
        <v>48</v>
      </c>
      <c r="C5" s="3">
        <v>23</v>
      </c>
      <c r="D5" s="7">
        <v>1</v>
      </c>
    </row>
    <row r="6" spans="1:4" x14ac:dyDescent="0.4">
      <c r="A6" s="3" t="s">
        <v>8</v>
      </c>
      <c r="B6" s="3">
        <v>57</v>
      </c>
      <c r="C6" s="3">
        <v>27</v>
      </c>
      <c r="D6" s="7">
        <v>1</v>
      </c>
    </row>
    <row r="7" spans="1:4" x14ac:dyDescent="0.4">
      <c r="A7" s="3" t="s">
        <v>2</v>
      </c>
      <c r="B7" s="3">
        <v>49</v>
      </c>
      <c r="C7" s="3">
        <v>24</v>
      </c>
      <c r="D7" s="7">
        <v>1</v>
      </c>
    </row>
    <row r="8" spans="1:4" x14ac:dyDescent="0.4">
      <c r="A8" s="3" t="s">
        <v>9</v>
      </c>
      <c r="B8" s="3">
        <v>39</v>
      </c>
      <c r="C8" s="3">
        <v>22</v>
      </c>
      <c r="D8" s="7">
        <v>1</v>
      </c>
    </row>
    <row r="9" spans="1:4" x14ac:dyDescent="0.4">
      <c r="A9" s="3" t="s">
        <v>7</v>
      </c>
      <c r="B9" s="3">
        <v>55</v>
      </c>
      <c r="C9" s="3">
        <v>27</v>
      </c>
      <c r="D9" s="7">
        <v>0.96699999999999997</v>
      </c>
    </row>
    <row r="10" spans="1:4" x14ac:dyDescent="0.4">
      <c r="A10" s="3" t="s">
        <v>3</v>
      </c>
      <c r="B10" s="3">
        <v>53</v>
      </c>
      <c r="C10" s="3">
        <v>25</v>
      </c>
      <c r="D10" s="7">
        <v>0.9</v>
      </c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9AB59-3288-431A-837F-17B57F7C55DA}">
  <dimension ref="A1:H11"/>
  <sheetViews>
    <sheetView workbookViewId="0">
      <selection activeCell="I9" sqref="I9"/>
    </sheetView>
  </sheetViews>
  <sheetFormatPr defaultRowHeight="13.9" x14ac:dyDescent="0.4"/>
  <sheetData>
    <row r="1" spans="1:8" ht="83.25" x14ac:dyDescent="0.4">
      <c r="A1" s="4" t="s">
        <v>0</v>
      </c>
      <c r="B1" s="4" t="s">
        <v>11</v>
      </c>
      <c r="C1" s="4" t="s">
        <v>12</v>
      </c>
      <c r="D1" s="4" t="s">
        <v>10</v>
      </c>
    </row>
    <row r="2" spans="1:8" x14ac:dyDescent="0.4">
      <c r="A2" s="6" t="s">
        <v>6</v>
      </c>
      <c r="B2" s="6">
        <v>51</v>
      </c>
      <c r="C2" s="6">
        <v>29</v>
      </c>
      <c r="D2" s="5">
        <v>1</v>
      </c>
      <c r="H2" s="2"/>
    </row>
    <row r="3" spans="1:8" x14ac:dyDescent="0.4">
      <c r="A3" s="6" t="s">
        <v>4</v>
      </c>
      <c r="B3" s="6">
        <v>62</v>
      </c>
      <c r="C3" s="6">
        <v>33</v>
      </c>
      <c r="D3" s="5">
        <v>0.93500000000000005</v>
      </c>
      <c r="H3" s="2"/>
    </row>
    <row r="4" spans="1:8" x14ac:dyDescent="0.4">
      <c r="A4" s="6" t="s">
        <v>1</v>
      </c>
      <c r="B4" s="6">
        <v>57</v>
      </c>
      <c r="C4" s="6">
        <v>31</v>
      </c>
      <c r="D4" s="5">
        <v>1</v>
      </c>
      <c r="H4" s="2"/>
    </row>
    <row r="5" spans="1:8" x14ac:dyDescent="0.4">
      <c r="A5" s="6" t="s">
        <v>5</v>
      </c>
      <c r="B5" s="6">
        <v>48</v>
      </c>
      <c r="C5" s="6">
        <v>26</v>
      </c>
      <c r="D5" s="5">
        <v>1</v>
      </c>
      <c r="H5" s="2"/>
    </row>
    <row r="6" spans="1:8" x14ac:dyDescent="0.4">
      <c r="A6" s="6" t="s">
        <v>8</v>
      </c>
      <c r="B6" s="6">
        <v>68</v>
      </c>
      <c r="C6" s="6">
        <v>36</v>
      </c>
      <c r="D6" s="5">
        <v>0.871</v>
      </c>
      <c r="H6" s="2"/>
    </row>
    <row r="7" spans="1:8" x14ac:dyDescent="0.4">
      <c r="A7" s="6" t="s">
        <v>2</v>
      </c>
      <c r="B7" s="6">
        <v>52</v>
      </c>
      <c r="C7" s="6">
        <v>27</v>
      </c>
      <c r="D7" s="5">
        <v>1</v>
      </c>
      <c r="H7" s="1"/>
    </row>
    <row r="8" spans="1:8" x14ac:dyDescent="0.4">
      <c r="A8" s="6" t="s">
        <v>9</v>
      </c>
      <c r="B8" s="6">
        <v>43</v>
      </c>
      <c r="C8" s="6">
        <v>28</v>
      </c>
      <c r="D8" s="5">
        <v>1</v>
      </c>
      <c r="H8" s="1"/>
    </row>
    <row r="9" spans="1:8" x14ac:dyDescent="0.4">
      <c r="A9" s="6" t="s">
        <v>7</v>
      </c>
      <c r="B9" s="6">
        <v>64</v>
      </c>
      <c r="C9" s="6">
        <v>35</v>
      </c>
      <c r="D9" s="5">
        <v>0.83899999999999997</v>
      </c>
      <c r="H9" s="1"/>
    </row>
    <row r="10" spans="1:8" x14ac:dyDescent="0.4">
      <c r="A10" s="6" t="s">
        <v>3</v>
      </c>
      <c r="B10" s="6">
        <v>61</v>
      </c>
      <c r="C10" s="6">
        <v>32</v>
      </c>
      <c r="D10" s="5">
        <v>0.871</v>
      </c>
      <c r="H10" s="1"/>
    </row>
    <row r="11" spans="1:8" x14ac:dyDescent="0.4">
      <c r="H11" s="1"/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BC65A-1D78-47D5-9B9A-92D4E1177DD0}">
  <dimension ref="A1:D10"/>
  <sheetViews>
    <sheetView tabSelected="1" workbookViewId="0">
      <selection activeCell="G2" sqref="G2"/>
    </sheetView>
  </sheetViews>
  <sheetFormatPr defaultRowHeight="13.9" x14ac:dyDescent="0.4"/>
  <cols>
    <col min="2" max="2" width="11" customWidth="1"/>
    <col min="3" max="3" width="9.9296875" customWidth="1"/>
  </cols>
  <sheetData>
    <row r="1" spans="1:4" ht="83.25" x14ac:dyDescent="0.4">
      <c r="A1" s="4" t="s">
        <v>0</v>
      </c>
      <c r="B1" s="4" t="s">
        <v>22</v>
      </c>
      <c r="C1" s="4" t="s">
        <v>23</v>
      </c>
      <c r="D1" s="4" t="s">
        <v>24</v>
      </c>
    </row>
    <row r="2" spans="1:4" x14ac:dyDescent="0.4">
      <c r="A2" s="6" t="s">
        <v>6</v>
      </c>
      <c r="B2" s="8">
        <f>AVERAGE(Sheet1:Sheet12!B2)</f>
        <v>41.416666666666664</v>
      </c>
      <c r="C2" s="8">
        <f>AVERAGE(Sheet1:Sheet12!C2)</f>
        <v>21.916666666666668</v>
      </c>
      <c r="D2" s="5">
        <f>AVERAGE(Sheet1:Sheet12!D2)</f>
        <v>0.86116666666666675</v>
      </c>
    </row>
    <row r="3" spans="1:4" x14ac:dyDescent="0.4">
      <c r="A3" s="6" t="s">
        <v>4</v>
      </c>
      <c r="B3" s="8">
        <f>AVERAGE(Sheet1:Sheet12!B3)</f>
        <v>45.75</v>
      </c>
      <c r="C3" s="8">
        <f>AVERAGE(Sheet1:Sheet12!C3)</f>
        <v>23.416666666666668</v>
      </c>
      <c r="D3" s="5">
        <f>AVERAGE(Sheet1:Sheet12!D3)</f>
        <v>0.8536666666666668</v>
      </c>
    </row>
    <row r="4" spans="1:4" x14ac:dyDescent="0.4">
      <c r="A4" s="6" t="s">
        <v>1</v>
      </c>
      <c r="B4" s="8">
        <f>AVERAGE(Sheet1:Sheet12!B4)</f>
        <v>46.583333333333336</v>
      </c>
      <c r="C4" s="8">
        <f>AVERAGE(Sheet1:Sheet12!C4)</f>
        <v>23.916666666666668</v>
      </c>
      <c r="D4" s="5">
        <f>AVERAGE(Sheet1:Sheet12!D4)</f>
        <v>0.88391666666666657</v>
      </c>
    </row>
    <row r="5" spans="1:4" x14ac:dyDescent="0.4">
      <c r="A5" s="6" t="s">
        <v>5</v>
      </c>
      <c r="B5" s="8">
        <f>AVERAGE(Sheet1:Sheet12!B5)</f>
        <v>40.083333333333336</v>
      </c>
      <c r="C5" s="8">
        <f>AVERAGE(Sheet1:Sheet12!C5)</f>
        <v>19.166666666666668</v>
      </c>
      <c r="D5" s="5">
        <f>AVERAGE(Sheet1:Sheet12!D5)</f>
        <v>0.9451666666666666</v>
      </c>
    </row>
    <row r="6" spans="1:4" x14ac:dyDescent="0.4">
      <c r="A6" s="6" t="s">
        <v>8</v>
      </c>
      <c r="B6" s="8">
        <f>AVERAGE(Sheet1:Sheet12!B6)</f>
        <v>45.5</v>
      </c>
      <c r="C6" s="8">
        <f>AVERAGE(Sheet1:Sheet12!C6)</f>
        <v>22.666666666666668</v>
      </c>
      <c r="D6" s="5">
        <f>AVERAGE(Sheet1:Sheet12!D6)</f>
        <v>0.8736666666666667</v>
      </c>
    </row>
    <row r="7" spans="1:4" x14ac:dyDescent="0.4">
      <c r="A7" s="6" t="s">
        <v>2</v>
      </c>
      <c r="B7" s="8">
        <f>AVERAGE(Sheet1:Sheet12!B7)</f>
        <v>36.833333333333336</v>
      </c>
      <c r="C7" s="8">
        <f>AVERAGE(Sheet1:Sheet12!C7)</f>
        <v>18.166666666666668</v>
      </c>
      <c r="D7" s="5">
        <f>AVERAGE(Sheet1:Sheet12!D7)</f>
        <v>0.96158333333333346</v>
      </c>
    </row>
    <row r="8" spans="1:4" x14ac:dyDescent="0.4">
      <c r="A8" s="6" t="s">
        <v>9</v>
      </c>
      <c r="B8" s="8">
        <f>AVERAGE(Sheet1:Sheet12!B8)</f>
        <v>37.583333333333336</v>
      </c>
      <c r="C8" s="8">
        <f>AVERAGE(Sheet1:Sheet12!C8)</f>
        <v>22.166666666666668</v>
      </c>
      <c r="D8" s="5">
        <f>AVERAGE(Sheet1:Sheet12!D8)</f>
        <v>0.93691666666666673</v>
      </c>
    </row>
    <row r="9" spans="1:4" x14ac:dyDescent="0.4">
      <c r="A9" s="6" t="s">
        <v>7</v>
      </c>
      <c r="B9" s="8">
        <f>AVERAGE(Sheet1:Sheet12!B9)</f>
        <v>39.5</v>
      </c>
      <c r="C9" s="8">
        <f>AVERAGE(Sheet1:Sheet12!C9)</f>
        <v>20.333333333333332</v>
      </c>
      <c r="D9" s="5">
        <f>AVERAGE(Sheet1:Sheet12!D9)</f>
        <v>0.8988333333333336</v>
      </c>
    </row>
    <row r="10" spans="1:4" x14ac:dyDescent="0.4">
      <c r="A10" s="6" t="s">
        <v>3</v>
      </c>
      <c r="B10" s="8">
        <f>AVERAGE(Sheet1:Sheet12!B10)</f>
        <v>36.833333333333336</v>
      </c>
      <c r="C10" s="8">
        <f>AVERAGE(Sheet1:Sheet12!C10)</f>
        <v>19.583333333333332</v>
      </c>
      <c r="D10" s="5">
        <f>AVERAGE(Sheet1:Sheet12!D10)</f>
        <v>0.95058333333333334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Sheet4</vt:lpstr>
      <vt:lpstr>Sheet5</vt:lpstr>
      <vt:lpstr>Sheet6</vt:lpstr>
      <vt:lpstr>Sheet7</vt:lpstr>
      <vt:lpstr>Sheet9</vt:lpstr>
      <vt:lpstr>Sheet8</vt:lpstr>
      <vt:lpstr>Sheet10</vt:lpstr>
      <vt:lpstr>Sheet11</vt:lpstr>
      <vt:lpstr>Sheet12</vt:lpstr>
      <vt:lpstr>年均值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秦桑予</dc:creator>
  <cp:lastModifiedBy>桑予 秦</cp:lastModifiedBy>
  <dcterms:created xsi:type="dcterms:W3CDTF">2015-06-05T18:19:34Z</dcterms:created>
  <dcterms:modified xsi:type="dcterms:W3CDTF">2025-11-25T13:54:45Z</dcterms:modified>
</cp:coreProperties>
</file>